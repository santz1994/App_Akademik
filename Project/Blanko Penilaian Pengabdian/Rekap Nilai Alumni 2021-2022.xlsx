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filterPrivacy="1" defaultThemeVersion="124226"/>
  <xr:revisionPtr revIDLastSave="0" documentId="13_ncr:1_{5D55C0F1-33FF-4E44-9824-E43DF5959E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kap Nilai 2021-2022" sheetId="10" r:id="rId1"/>
    <sheet name="ALUMNI 2022-2023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1" i="10" l="1"/>
  <c r="K25" i="10"/>
  <c r="J45" i="10" l="1"/>
  <c r="K45" i="10" s="1"/>
  <c r="J23" i="10"/>
  <c r="K23" i="10" s="1"/>
  <c r="J22" i="10"/>
  <c r="K22" i="10" s="1"/>
  <c r="J13" i="10"/>
  <c r="K13" i="10" s="1"/>
  <c r="J14" i="10"/>
  <c r="K14" i="10" s="1"/>
  <c r="J15" i="10"/>
  <c r="K15" i="10" s="1"/>
  <c r="J16" i="10"/>
  <c r="K16" i="10" s="1"/>
  <c r="J17" i="10"/>
  <c r="K17" i="10" s="1"/>
  <c r="J18" i="10"/>
  <c r="K18" i="10" s="1"/>
  <c r="J19" i="10"/>
  <c r="K19" i="10" s="1"/>
  <c r="J20" i="10"/>
  <c r="K20" i="10" s="1"/>
  <c r="J21" i="10"/>
  <c r="K21" i="10" s="1"/>
  <c r="J24" i="10"/>
  <c r="K24" i="10" s="1"/>
  <c r="J26" i="10"/>
  <c r="K26" i="10" s="1"/>
  <c r="J27" i="10"/>
  <c r="K27" i="10" s="1"/>
  <c r="J28" i="10"/>
  <c r="K28" i="10" s="1"/>
  <c r="J29" i="10"/>
  <c r="K29" i="10" s="1"/>
  <c r="J30" i="10"/>
  <c r="K30" i="10" s="1"/>
  <c r="J31" i="10"/>
  <c r="K31" i="10" s="1"/>
  <c r="J32" i="10"/>
  <c r="K32" i="10" s="1"/>
  <c r="J33" i="10"/>
  <c r="K33" i="10" s="1"/>
  <c r="J34" i="10"/>
  <c r="K34" i="10" s="1"/>
  <c r="J35" i="10"/>
  <c r="K35" i="10" s="1"/>
  <c r="J36" i="10"/>
  <c r="K36" i="10" s="1"/>
  <c r="J37" i="10"/>
  <c r="K37" i="10" s="1"/>
  <c r="J38" i="10"/>
  <c r="K38" i="10" s="1"/>
  <c r="J39" i="10"/>
  <c r="K39" i="10" s="1"/>
  <c r="J40" i="10"/>
  <c r="K40" i="10" s="1"/>
  <c r="J41" i="10"/>
  <c r="K41" i="10" s="1"/>
  <c r="J42" i="10"/>
  <c r="K42" i="10" s="1"/>
  <c r="J43" i="10"/>
  <c r="K43" i="10" s="1"/>
  <c r="J44" i="10"/>
  <c r="K44" i="10" s="1"/>
  <c r="J12" i="10"/>
  <c r="K12" i="10" s="1"/>
  <c r="J9" i="10"/>
  <c r="K9" i="10" s="1"/>
  <c r="J10" i="10"/>
  <c r="K10" i="10" s="1"/>
  <c r="J8" i="10"/>
  <c r="K8" i="10" s="1"/>
</calcChain>
</file>

<file path=xl/sharedStrings.xml><?xml version="1.0" encoding="utf-8"?>
<sst xmlns="http://schemas.openxmlformats.org/spreadsheetml/2006/main" count="242" uniqueCount="187">
  <si>
    <t>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</si>
  <si>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</si>
  <si>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</si>
  <si>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</si>
  <si>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</si>
  <si>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</si>
  <si>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</si>
  <si>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</si>
  <si>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</si>
  <si>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</si>
  <si>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</si>
  <si>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</si>
  <si>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</si>
  <si>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</si>
  <si>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</si>
  <si>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</si>
  <si>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</si>
  <si>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</si>
  <si>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</si>
  <si>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</si>
  <si>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</si>
  <si>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</si>
  <si>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</si>
  <si>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</si>
  <si>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</si>
  <si>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</si>
  <si>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</si>
  <si>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</si>
  <si>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</si>
  <si>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</si>
  <si>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</si>
  <si>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</si>
  <si>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</si>
  <si>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</si>
  <si>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</si>
  <si>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</si>
  <si>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</si>
  <si>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</si>
  <si>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</si>
  <si>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LOGISTIK</t>
  </si>
  <si>
    <t>YAYASAN PONDOK PESANTREN AL-HUDA MUGOMULYO</t>
  </si>
  <si>
    <t>MADRASAH</t>
  </si>
  <si>
    <t>PUSTAKA</t>
  </si>
  <si>
    <t>PRAMUKA</t>
  </si>
  <si>
    <t>JUMLAH NILAI</t>
  </si>
  <si>
    <t>C</t>
  </si>
  <si>
    <t>K</t>
  </si>
  <si>
    <t>10 SAK SEMEN</t>
  </si>
  <si>
    <t xml:space="preserve">PONDOK </t>
  </si>
  <si>
    <t>PREDIKAT</t>
  </si>
  <si>
    <t>B</t>
  </si>
  <si>
    <t>KETERANGA NILAI</t>
  </si>
  <si>
    <t>KOPERASI/ TPKU/ TIRTA MULYA</t>
  </si>
  <si>
    <t>NAMA ALUMNI</t>
  </si>
  <si>
    <t>NILAI PENGABDIAN ALUMNI</t>
  </si>
  <si>
    <t>@ BULAN 3 SAK SEMEN</t>
  </si>
  <si>
    <t>Ketua Yayasan,</t>
  </si>
  <si>
    <t>Mengetahui :</t>
  </si>
  <si>
    <t>Ketua Babinlumni,</t>
  </si>
  <si>
    <t>MISRUN, S. Ag, S.Pd</t>
  </si>
  <si>
    <t>MASJID/MQ/ DINIAH</t>
  </si>
  <si>
    <t>Drs. H. AH. MASYHURI SA, M.Pd.I</t>
  </si>
  <si>
    <t>WULANDARI</t>
  </si>
  <si>
    <t>KET PENGABDIAN</t>
  </si>
  <si>
    <t>TAHUN PELAJARAN 2021/2022</t>
  </si>
  <si>
    <t>AHMADUL KHUSNAYAIN</t>
  </si>
  <si>
    <t>ABDUL HAQ BASMI</t>
  </si>
  <si>
    <t>FAIDATUL HASANAH</t>
  </si>
  <si>
    <t>BAYU MA`RIFATULLAH</t>
  </si>
  <si>
    <t>ANIK RAHMAWATI</t>
  </si>
  <si>
    <t>PUTRI MAULINA</t>
  </si>
  <si>
    <t>DODI HAMZAH</t>
  </si>
  <si>
    <t>INDAH PUJI UTAMI</t>
  </si>
  <si>
    <t>RIKY AJI WAHYUDI</t>
  </si>
  <si>
    <t>M. HAKAM FUADY</t>
  </si>
  <si>
    <t>KUNI ZULFANA</t>
  </si>
  <si>
    <t>ELVI SUCIATI</t>
  </si>
  <si>
    <t>MA`RIFATUL AMRIAH</t>
  </si>
  <si>
    <t>SRI HANDAYANI</t>
  </si>
  <si>
    <t>DEWI SULIS TYA NINGRUM</t>
  </si>
  <si>
    <t>SITI YULIANA</t>
  </si>
  <si>
    <t>ILHAM AL KHOLIK</t>
  </si>
  <si>
    <t>KURNIA BAYU LESMANA</t>
  </si>
  <si>
    <t>MONALISA</t>
  </si>
  <si>
    <t>INGKA LIDIAWATI</t>
  </si>
  <si>
    <t>NIKEN MAYA SAFIRA</t>
  </si>
  <si>
    <t>NAILI KANZUL MUTMAINNAH</t>
  </si>
  <si>
    <t>HARTOYO</t>
  </si>
  <si>
    <t>YADIMAN KHOIRI</t>
  </si>
  <si>
    <t>MUSDALIFAH</t>
  </si>
  <si>
    <t>EKA ASRIANI</t>
  </si>
  <si>
    <t>BAMBANG HARIANTO</t>
  </si>
  <si>
    <t>ARI FIRMANSYAH</t>
  </si>
  <si>
    <t>AIDIL ANWAR</t>
  </si>
  <si>
    <t>RIZKY MALIKUL KHUSAINI</t>
  </si>
  <si>
    <t>HABIB ALWI</t>
  </si>
  <si>
    <t>ZULKIFLI</t>
  </si>
  <si>
    <t>AMAT ABIDIN</t>
  </si>
  <si>
    <t>HASAN AS`ARI</t>
  </si>
  <si>
    <t>SYAMSURI</t>
  </si>
  <si>
    <t>ANDIL MUTTAQIN</t>
  </si>
  <si>
    <t>ALEXANDER SYAFA`AT</t>
  </si>
  <si>
    <t>Mugomulyo, 7 Juni 2022</t>
  </si>
  <si>
    <t>No</t>
  </si>
  <si>
    <t>Alfi Hikmatun Nafiah</t>
  </si>
  <si>
    <t>Elsa Dwi Maharani Putri</t>
  </si>
  <si>
    <t>Fitria Rahmah</t>
  </si>
  <si>
    <t>Hikma</t>
  </si>
  <si>
    <t>Khofifah Inayati</t>
  </si>
  <si>
    <t>Masruroh</t>
  </si>
  <si>
    <t>Mazrotuz Zakiah</t>
  </si>
  <si>
    <t>Nadiyah</t>
  </si>
  <si>
    <t>Nikmatul Rusida</t>
  </si>
  <si>
    <t>Rida Kamilia</t>
  </si>
  <si>
    <t>Rika Try Noviani</t>
  </si>
  <si>
    <t>Rina Lestari</t>
  </si>
  <si>
    <t>Riris Widari Wigarti</t>
  </si>
  <si>
    <t>Ristia Amanda</t>
  </si>
  <si>
    <t>Rita Astuti</t>
  </si>
  <si>
    <t>Rizka Alvi Oktoviani</t>
  </si>
  <si>
    <t>Siti Mutmainah</t>
  </si>
  <si>
    <t>Winda Ariska Putri</t>
  </si>
  <si>
    <t>Anisha Kumala Kusna</t>
  </si>
  <si>
    <t>Aulia Farhatun Nisa</t>
  </si>
  <si>
    <t>Devi Juliani</t>
  </si>
  <si>
    <t>Dian Safitri</t>
  </si>
  <si>
    <t>Endang Maesaroh</t>
  </si>
  <si>
    <t>Hasnia</t>
  </si>
  <si>
    <t>Imroati</t>
  </si>
  <si>
    <t>Khorotul Mualimah</t>
  </si>
  <si>
    <t>Latifatus Sukriyah</t>
  </si>
  <si>
    <t>Marta Dewi</t>
  </si>
  <si>
    <t>Nila Daniyata Janiah</t>
  </si>
  <si>
    <t>Nur Khafidoh</t>
  </si>
  <si>
    <t>Rika Rahmatullaili</t>
  </si>
  <si>
    <t>Rini Mardina</t>
  </si>
  <si>
    <t>Risa Puspita Sari</t>
  </si>
  <si>
    <t>Shofi Showvina</t>
  </si>
  <si>
    <t>Ulandari</t>
  </si>
  <si>
    <t>Ahmad Mustafidzin</t>
  </si>
  <si>
    <t>Asmari</t>
  </si>
  <si>
    <t>Ayub</t>
  </si>
  <si>
    <t>Gunawan</t>
  </si>
  <si>
    <t>Hawin Setiawan</t>
  </si>
  <si>
    <t>Hendra</t>
  </si>
  <si>
    <t>M. Rois</t>
  </si>
  <si>
    <t>M. Syarifuddin</t>
  </si>
  <si>
    <t>Moh. Luthfi Asyhari</t>
  </si>
  <si>
    <t>Muhammad Alfin Ma`arif</t>
  </si>
  <si>
    <t>Muhammad Ilyas</t>
  </si>
  <si>
    <t>Muhammad Khoirul Wafa</t>
  </si>
  <si>
    <t>Riki Jauhari</t>
  </si>
  <si>
    <t>Riski Kurniawan</t>
  </si>
  <si>
    <t>Sigit Budiarto</t>
  </si>
  <si>
    <t>Taufiq Hidayat</t>
  </si>
  <si>
    <t>Yoga Adi Pangestu</t>
  </si>
  <si>
    <t>Zainal Abidin</t>
  </si>
  <si>
    <t>Zam Zami Thawaf</t>
  </si>
  <si>
    <t>Nama Alumni</t>
  </si>
  <si>
    <t>Tempat Tugas</t>
  </si>
  <si>
    <t>Bendahara MA</t>
  </si>
  <si>
    <t>Bendahara MTs</t>
  </si>
  <si>
    <t>Bendahara MI</t>
  </si>
  <si>
    <t>TU MA</t>
  </si>
  <si>
    <t>TU MTs</t>
  </si>
  <si>
    <t>TU MI</t>
  </si>
  <si>
    <t>TU RA</t>
  </si>
  <si>
    <t>TU PAUD</t>
  </si>
  <si>
    <t>PUSTAKA MA,MTs</t>
  </si>
  <si>
    <t>Koperasi</t>
  </si>
  <si>
    <t>Depot Air</t>
  </si>
  <si>
    <t>Kemasjidan</t>
  </si>
  <si>
    <t>Logistik/ Taman</t>
  </si>
  <si>
    <t>TPKU</t>
  </si>
  <si>
    <t>MDTA</t>
  </si>
  <si>
    <t>5 SAK SEMEN</t>
  </si>
  <si>
    <t>√</t>
  </si>
  <si>
    <t>Saiful Mustakim / Prt Masjid</t>
  </si>
  <si>
    <t>taman</t>
  </si>
  <si>
    <t>Taman</t>
  </si>
  <si>
    <t>Nurhidayanti Prt Masjid</t>
  </si>
  <si>
    <t>Mardiana Sungai Batang</t>
  </si>
  <si>
    <t xml:space="preserve">MENINGGALKAN PENGABDIAN </t>
  </si>
  <si>
    <t>BELUM HABIS WAKTU</t>
  </si>
  <si>
    <t>85-100</t>
  </si>
  <si>
    <t>75-84</t>
  </si>
  <si>
    <t>0-74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</si>
</sst>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 textRotation="90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0" xfId="0" applyAlignment="1">
      <alignment horizontal="left" vertical="center"/>
    </xf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2" fillId="0" borderId="0" xfId="0" applyFont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textRotation="90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1" fontId="10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2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F817-F657-42DA-93CA-E1E65BFFAAD6}">
  <dimension ref="A2:O54"/>
  <sheetViews>
    <sheetView tabSelected="1" topLeftCell="A7" zoomScale="110" zoomScaleNormal="110" zoomScaleSheetLayoutView="120" workbookViewId="0">
      <selection activeCell="I50" sqref="I50"/>
    </sheetView>
  </sheetViews>
  <sheetFormatPr defaultRowHeight="15" x14ac:dyDescent="0.25"/>
  <cols>
    <col min="1" max="1" width="4.85546875" customWidth="1"/>
    <col min="2" max="2" width="25.7109375" bestFit="1" customWidth="1"/>
    <col min="3" max="9" width="4.7109375" customWidth="1"/>
    <col min="10" max="10" width="6.7109375" style="34" customWidth="1"/>
    <col min="11" max="11" width="6.7109375" style="31" customWidth="1"/>
    <col min="12" max="12" width="6.7109375" customWidth="1"/>
    <col min="13" max="13" width="7.7109375" customWidth="1"/>
    <col min="14" max="14" width="4.7109375" customWidth="1"/>
    <col min="15" max="15" width="14.42578125" customWidth="1"/>
  </cols>
  <sheetData>
    <row r="2" spans="1:15" ht="15" customHeight="1" x14ac:dyDescent="0.25">
      <c r="A2" s="43" t="s">
        <v>54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5" customHeight="1" x14ac:dyDescent="0.25">
      <c r="A3" s="43" t="s">
        <v>40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15" ht="15" customHeight="1" x14ac:dyDescent="0.25">
      <c r="A4" s="43" t="s">
        <v>64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</row>
    <row r="5" spans="1:15" ht="15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30"/>
      <c r="K5" s="30"/>
      <c r="L5" s="20"/>
      <c r="M5" s="20"/>
      <c r="N5" s="20"/>
      <c r="O5" s="20"/>
    </row>
    <row r="6" spans="1:15" ht="15" customHeight="1" x14ac:dyDescent="0.25"/>
    <row r="7" spans="1:15" ht="74.25" customHeight="1" x14ac:dyDescent="0.25">
      <c r="A7" s="9" t="s">
        <v>0</v>
      </c>
      <c r="B7" s="9" t="s">
        <v>53</v>
      </c>
      <c r="C7" s="10" t="s">
        <v>52</v>
      </c>
      <c r="D7" s="2" t="s">
        <v>41</v>
      </c>
      <c r="E7" s="2" t="s">
        <v>42</v>
      </c>
      <c r="F7" s="2" t="s">
        <v>48</v>
      </c>
      <c r="G7" s="2" t="s">
        <v>43</v>
      </c>
      <c r="H7" s="2" t="s">
        <v>39</v>
      </c>
      <c r="I7" s="10" t="s">
        <v>60</v>
      </c>
      <c r="J7" s="32" t="s">
        <v>44</v>
      </c>
      <c r="K7" s="32" t="s">
        <v>49</v>
      </c>
      <c r="L7" s="10" t="s">
        <v>63</v>
      </c>
      <c r="M7" s="44" t="s">
        <v>51</v>
      </c>
      <c r="N7" s="44"/>
      <c r="O7" s="44"/>
    </row>
    <row r="8" spans="1:15" ht="21.95" customHeight="1" x14ac:dyDescent="0.25">
      <c r="A8" s="21" t="s">
        <v>1</v>
      </c>
      <c r="B8" s="22" t="s">
        <v>65</v>
      </c>
      <c r="C8" s="23"/>
      <c r="D8" s="23">
        <v>90</v>
      </c>
      <c r="E8" s="23"/>
      <c r="F8" s="23">
        <v>80</v>
      </c>
      <c r="G8" s="23">
        <v>90</v>
      </c>
      <c r="H8" s="23"/>
      <c r="I8" s="23">
        <v>80</v>
      </c>
      <c r="J8" s="35">
        <f>AVERAGE(D8:I8)</f>
        <v>85</v>
      </c>
      <c r="K8" s="23" t="str">
        <f>IF(J8&gt;=0,IF(J8&lt;=74,"K",IF(J8&lt;=84,"C",IF(J8&lt;=100,"B",))))</f>
        <v>B</v>
      </c>
      <c r="L8" s="23"/>
      <c r="M8" s="7" t="s">
        <v>184</v>
      </c>
      <c r="N8" s="7" t="s">
        <v>50</v>
      </c>
      <c r="O8" s="11"/>
    </row>
    <row r="9" spans="1:15" ht="21.95" customHeight="1" x14ac:dyDescent="0.25">
      <c r="A9" s="6" t="s">
        <v>2</v>
      </c>
      <c r="B9" s="1" t="s">
        <v>66</v>
      </c>
      <c r="C9" s="7"/>
      <c r="D9" s="7">
        <v>90</v>
      </c>
      <c r="E9" s="7"/>
      <c r="F9" s="7">
        <v>78</v>
      </c>
      <c r="G9" s="7">
        <v>87</v>
      </c>
      <c r="H9" s="7"/>
      <c r="I9" s="7">
        <v>85</v>
      </c>
      <c r="J9" s="38">
        <f t="shared" ref="J9:J10" si="0">AVERAGE(D9:I9)</f>
        <v>85</v>
      </c>
      <c r="K9" s="7" t="str">
        <f t="shared" ref="K9:K45" si="1">IF(J9&gt;=0,IF(J9&lt;=74,"K",IF(J9&lt;=84,"C",IF(J9&lt;=100,"B",))))</f>
        <v>B</v>
      </c>
      <c r="L9" s="7"/>
      <c r="M9" s="7" t="s">
        <v>185</v>
      </c>
      <c r="N9" s="7" t="s">
        <v>45</v>
      </c>
      <c r="O9" s="7" t="s">
        <v>175</v>
      </c>
    </row>
    <row r="10" spans="1:15" ht="21.95" customHeight="1" x14ac:dyDescent="0.25">
      <c r="A10" s="21" t="s">
        <v>3</v>
      </c>
      <c r="B10" s="22" t="s">
        <v>67</v>
      </c>
      <c r="C10" s="23"/>
      <c r="D10" s="23">
        <v>90</v>
      </c>
      <c r="E10" s="23"/>
      <c r="F10" s="23">
        <v>80</v>
      </c>
      <c r="G10" s="23">
        <v>87</v>
      </c>
      <c r="H10" s="23"/>
      <c r="I10" s="23">
        <v>88</v>
      </c>
      <c r="J10" s="35">
        <f t="shared" si="0"/>
        <v>86.25</v>
      </c>
      <c r="K10" s="23" t="str">
        <f t="shared" si="1"/>
        <v>B</v>
      </c>
      <c r="L10" s="23"/>
      <c r="M10" s="7" t="s">
        <v>186</v>
      </c>
      <c r="N10" s="7" t="s">
        <v>46</v>
      </c>
      <c r="O10" s="7" t="s">
        <v>47</v>
      </c>
    </row>
    <row r="11" spans="1:15" ht="21.95" customHeight="1" x14ac:dyDescent="0.25">
      <c r="A11" s="6" t="s">
        <v>4</v>
      </c>
      <c r="B11" s="1" t="s">
        <v>68</v>
      </c>
      <c r="C11" s="7"/>
      <c r="D11" s="7"/>
      <c r="E11" s="7"/>
      <c r="F11" s="7"/>
      <c r="G11" s="7"/>
      <c r="H11" s="7"/>
      <c r="I11" s="7"/>
      <c r="J11" s="38"/>
      <c r="K11" s="39" t="str">
        <f t="shared" si="1"/>
        <v>K</v>
      </c>
      <c r="L11" s="33"/>
      <c r="M11" s="7"/>
      <c r="N11" s="7"/>
      <c r="O11" s="7"/>
    </row>
    <row r="12" spans="1:15" ht="21.95" customHeight="1" x14ac:dyDescent="0.25">
      <c r="A12" s="21" t="s">
        <v>5</v>
      </c>
      <c r="B12" s="22" t="s">
        <v>69</v>
      </c>
      <c r="C12" s="23">
        <v>90</v>
      </c>
      <c r="D12" s="23"/>
      <c r="E12" s="23"/>
      <c r="F12" s="23">
        <v>78</v>
      </c>
      <c r="G12" s="23">
        <v>87</v>
      </c>
      <c r="H12" s="23"/>
      <c r="I12" s="23"/>
      <c r="J12" s="35">
        <f>AVERAGE(C12:I12)</f>
        <v>85</v>
      </c>
      <c r="K12" s="23" t="str">
        <f t="shared" si="1"/>
        <v>B</v>
      </c>
      <c r="L12" s="23"/>
      <c r="M12" s="7"/>
      <c r="N12" s="7"/>
      <c r="O12" s="7"/>
    </row>
    <row r="13" spans="1:15" ht="21.95" customHeight="1" x14ac:dyDescent="0.25">
      <c r="A13" s="6" t="s">
        <v>6</v>
      </c>
      <c r="B13" s="1" t="s">
        <v>70</v>
      </c>
      <c r="C13" s="7"/>
      <c r="D13" s="7">
        <v>88</v>
      </c>
      <c r="E13" s="7"/>
      <c r="F13" s="7">
        <v>70</v>
      </c>
      <c r="G13" s="7">
        <v>87</v>
      </c>
      <c r="H13" s="7"/>
      <c r="I13" s="7"/>
      <c r="J13" s="38">
        <f t="shared" ref="J13:J44" si="2">AVERAGE(C13:I13)</f>
        <v>81.666666666666671</v>
      </c>
      <c r="K13" s="7" t="str">
        <f t="shared" si="1"/>
        <v>C</v>
      </c>
      <c r="L13" s="7"/>
      <c r="M13" s="7"/>
      <c r="N13" s="7"/>
      <c r="O13" s="7"/>
    </row>
    <row r="14" spans="1:15" ht="21.95" customHeight="1" x14ac:dyDescent="0.25">
      <c r="A14" s="21" t="s">
        <v>7</v>
      </c>
      <c r="B14" s="22" t="s">
        <v>71</v>
      </c>
      <c r="C14" s="23"/>
      <c r="D14" s="23">
        <v>86</v>
      </c>
      <c r="E14" s="23"/>
      <c r="F14" s="23">
        <v>70</v>
      </c>
      <c r="G14" s="23">
        <v>85</v>
      </c>
      <c r="H14" s="23"/>
      <c r="I14" s="23">
        <v>60</v>
      </c>
      <c r="J14" s="35">
        <f t="shared" si="2"/>
        <v>75.25</v>
      </c>
      <c r="K14" s="23" t="str">
        <f t="shared" si="1"/>
        <v>C</v>
      </c>
      <c r="L14" s="23"/>
      <c r="M14" s="7"/>
      <c r="N14" s="7"/>
      <c r="O14" s="7"/>
    </row>
    <row r="15" spans="1:15" ht="21.95" customHeight="1" x14ac:dyDescent="0.25">
      <c r="A15" s="6" t="s">
        <v>8</v>
      </c>
      <c r="B15" s="1" t="s">
        <v>72</v>
      </c>
      <c r="C15" s="7"/>
      <c r="D15" s="7">
        <v>93</v>
      </c>
      <c r="E15" s="7"/>
      <c r="F15" s="7">
        <v>80</v>
      </c>
      <c r="G15" s="7">
        <v>88</v>
      </c>
      <c r="H15" s="7"/>
      <c r="I15" s="7">
        <v>85</v>
      </c>
      <c r="J15" s="38">
        <f t="shared" si="2"/>
        <v>86.5</v>
      </c>
      <c r="K15" s="7" t="str">
        <f t="shared" si="1"/>
        <v>B</v>
      </c>
      <c r="L15" s="7"/>
      <c r="M15" s="13" t="s">
        <v>182</v>
      </c>
      <c r="O15" s="12"/>
    </row>
    <row r="16" spans="1:15" ht="21.95" customHeight="1" x14ac:dyDescent="0.25">
      <c r="A16" s="21" t="s">
        <v>9</v>
      </c>
      <c r="B16" s="22" t="s">
        <v>73</v>
      </c>
      <c r="C16" s="23"/>
      <c r="D16" s="23">
        <v>90</v>
      </c>
      <c r="E16" s="23"/>
      <c r="F16" s="23">
        <v>75</v>
      </c>
      <c r="G16" s="23">
        <v>88</v>
      </c>
      <c r="H16" s="23"/>
      <c r="I16" s="23">
        <v>85</v>
      </c>
      <c r="J16" s="35">
        <f t="shared" si="2"/>
        <v>84.5</v>
      </c>
      <c r="K16" s="23" t="str">
        <f t="shared" si="1"/>
        <v>B</v>
      </c>
      <c r="L16" s="23"/>
      <c r="M16" s="18" t="s">
        <v>183</v>
      </c>
      <c r="O16" s="14"/>
    </row>
    <row r="17" spans="1:15" ht="21.95" customHeight="1" x14ac:dyDescent="0.25">
      <c r="A17" s="6" t="s">
        <v>10</v>
      </c>
      <c r="B17" s="1" t="s">
        <v>74</v>
      </c>
      <c r="C17" s="7"/>
      <c r="D17" s="7">
        <v>60</v>
      </c>
      <c r="E17" s="7"/>
      <c r="F17" s="7">
        <v>65</v>
      </c>
      <c r="G17" s="7">
        <v>70</v>
      </c>
      <c r="H17" s="7"/>
      <c r="I17" s="7">
        <v>70</v>
      </c>
      <c r="J17" s="38">
        <f t="shared" si="2"/>
        <v>66.25</v>
      </c>
      <c r="K17" s="7" t="str">
        <f t="shared" si="1"/>
        <v>K</v>
      </c>
      <c r="L17" s="7"/>
      <c r="M17" s="8" t="s">
        <v>55</v>
      </c>
      <c r="N17" s="15"/>
      <c r="O17" s="16"/>
    </row>
    <row r="18" spans="1:15" ht="21.95" customHeight="1" x14ac:dyDescent="0.25">
      <c r="A18" s="21" t="s">
        <v>11</v>
      </c>
      <c r="B18" s="22" t="s">
        <v>75</v>
      </c>
      <c r="C18" s="23"/>
      <c r="D18" s="23">
        <v>90</v>
      </c>
      <c r="E18" s="23"/>
      <c r="F18" s="23">
        <v>80</v>
      </c>
      <c r="G18" s="23">
        <v>88</v>
      </c>
      <c r="H18" s="23"/>
      <c r="I18" s="23">
        <v>88</v>
      </c>
      <c r="J18" s="35">
        <f t="shared" si="2"/>
        <v>86.5</v>
      </c>
      <c r="K18" s="23" t="str">
        <f t="shared" si="1"/>
        <v>B</v>
      </c>
      <c r="L18" s="23"/>
      <c r="M18" s="8"/>
      <c r="N18" s="15"/>
      <c r="O18" s="17"/>
    </row>
    <row r="19" spans="1:15" ht="21.95" customHeight="1" x14ac:dyDescent="0.25">
      <c r="A19" s="6" t="s">
        <v>12</v>
      </c>
      <c r="B19" s="1" t="s">
        <v>76</v>
      </c>
      <c r="C19" s="7"/>
      <c r="D19" s="7">
        <v>88</v>
      </c>
      <c r="E19" s="7"/>
      <c r="F19" s="7">
        <v>60</v>
      </c>
      <c r="G19" s="7">
        <v>85</v>
      </c>
      <c r="H19" s="7"/>
      <c r="I19" s="7">
        <v>85</v>
      </c>
      <c r="J19" s="38">
        <f t="shared" si="2"/>
        <v>79.5</v>
      </c>
      <c r="K19" s="7" t="str">
        <f t="shared" si="1"/>
        <v>C</v>
      </c>
      <c r="L19" s="7"/>
      <c r="M19" s="15"/>
      <c r="N19" s="15"/>
      <c r="O19" s="17"/>
    </row>
    <row r="20" spans="1:15" ht="21.95" customHeight="1" x14ac:dyDescent="0.25">
      <c r="A20" s="21" t="s">
        <v>13</v>
      </c>
      <c r="B20" s="22" t="s">
        <v>77</v>
      </c>
      <c r="C20" s="23"/>
      <c r="D20" s="23">
        <v>90</v>
      </c>
      <c r="E20" s="23"/>
      <c r="F20" s="23">
        <v>80</v>
      </c>
      <c r="G20" s="23">
        <v>88</v>
      </c>
      <c r="H20" s="23"/>
      <c r="I20" s="23">
        <v>85</v>
      </c>
      <c r="J20" s="35">
        <f t="shared" si="2"/>
        <v>85.75</v>
      </c>
      <c r="K20" s="23" t="str">
        <f t="shared" si="1"/>
        <v>B</v>
      </c>
      <c r="L20" s="23"/>
      <c r="M20" s="15"/>
      <c r="N20" s="15"/>
      <c r="O20" s="17"/>
    </row>
    <row r="21" spans="1:15" ht="21.95" customHeight="1" x14ac:dyDescent="0.25">
      <c r="A21" s="6" t="s">
        <v>14</v>
      </c>
      <c r="B21" s="1" t="s">
        <v>78</v>
      </c>
      <c r="C21" s="7"/>
      <c r="D21" s="7">
        <v>88</v>
      </c>
      <c r="E21" s="7"/>
      <c r="F21" s="7">
        <v>70</v>
      </c>
      <c r="G21" s="7">
        <v>80</v>
      </c>
      <c r="H21" s="7"/>
      <c r="I21" s="7">
        <v>88</v>
      </c>
      <c r="J21" s="38">
        <f t="shared" si="2"/>
        <v>81.5</v>
      </c>
      <c r="K21" s="7" t="str">
        <f t="shared" si="1"/>
        <v>C</v>
      </c>
      <c r="L21" s="7"/>
      <c r="M21" s="13"/>
      <c r="N21" s="15"/>
      <c r="O21" s="17"/>
    </row>
    <row r="22" spans="1:15" ht="21.95" customHeight="1" x14ac:dyDescent="0.25">
      <c r="A22" s="21" t="s">
        <v>15</v>
      </c>
      <c r="B22" s="22" t="s">
        <v>62</v>
      </c>
      <c r="C22" s="23"/>
      <c r="D22" s="23">
        <v>88</v>
      </c>
      <c r="E22" s="23"/>
      <c r="F22" s="23">
        <v>80</v>
      </c>
      <c r="G22" s="23">
        <v>87</v>
      </c>
      <c r="H22" s="23"/>
      <c r="I22" s="23">
        <v>85</v>
      </c>
      <c r="J22" s="35">
        <f>AVERAGE(C22:I22)</f>
        <v>85</v>
      </c>
      <c r="K22" s="23" t="str">
        <f t="shared" si="1"/>
        <v>B</v>
      </c>
      <c r="L22" s="23"/>
      <c r="M22" s="15"/>
      <c r="N22" s="15"/>
      <c r="O22" s="17"/>
    </row>
    <row r="23" spans="1:15" ht="21.95" customHeight="1" x14ac:dyDescent="0.25">
      <c r="A23" s="6" t="s">
        <v>16</v>
      </c>
      <c r="B23" s="1" t="s">
        <v>79</v>
      </c>
      <c r="C23" s="7"/>
      <c r="D23" s="7">
        <v>88</v>
      </c>
      <c r="E23" s="7"/>
      <c r="F23" s="7">
        <v>82</v>
      </c>
      <c r="G23" s="7">
        <v>85</v>
      </c>
      <c r="H23" s="7"/>
      <c r="I23" s="7"/>
      <c r="J23" s="38">
        <f>AVERAGE(C23:I23)</f>
        <v>85</v>
      </c>
      <c r="K23" s="7" t="str">
        <f t="shared" si="1"/>
        <v>B</v>
      </c>
      <c r="L23" s="7"/>
      <c r="M23" s="15"/>
      <c r="N23" s="15"/>
      <c r="O23" s="17"/>
    </row>
    <row r="24" spans="1:15" ht="21.95" customHeight="1" x14ac:dyDescent="0.25">
      <c r="A24" s="21" t="s">
        <v>17</v>
      </c>
      <c r="B24" s="22" t="s">
        <v>80</v>
      </c>
      <c r="C24" s="23"/>
      <c r="D24" s="23">
        <v>88</v>
      </c>
      <c r="E24" s="23"/>
      <c r="F24" s="23">
        <v>81</v>
      </c>
      <c r="G24" s="23">
        <v>85</v>
      </c>
      <c r="H24" s="23"/>
      <c r="I24" s="23"/>
      <c r="J24" s="35">
        <f t="shared" si="2"/>
        <v>84.666666666666671</v>
      </c>
      <c r="K24" s="23" t="str">
        <f t="shared" si="1"/>
        <v>B</v>
      </c>
      <c r="L24" s="23"/>
      <c r="O24" s="14"/>
    </row>
    <row r="25" spans="1:15" ht="21.95" customHeight="1" x14ac:dyDescent="0.25">
      <c r="A25" s="6" t="s">
        <v>18</v>
      </c>
      <c r="B25" s="1" t="s">
        <v>81</v>
      </c>
      <c r="C25" s="7"/>
      <c r="D25" s="7"/>
      <c r="E25" s="7"/>
      <c r="F25" s="7"/>
      <c r="G25" s="7"/>
      <c r="H25" s="7"/>
      <c r="I25" s="7"/>
      <c r="J25" s="38"/>
      <c r="K25" s="7" t="str">
        <f t="shared" si="1"/>
        <v>K</v>
      </c>
      <c r="L25" s="7"/>
      <c r="M25" s="15"/>
      <c r="N25" s="15"/>
      <c r="O25" s="16"/>
    </row>
    <row r="26" spans="1:15" ht="21.95" customHeight="1" x14ac:dyDescent="0.25">
      <c r="A26" s="21" t="s">
        <v>19</v>
      </c>
      <c r="B26" s="22" t="s">
        <v>82</v>
      </c>
      <c r="C26" s="23"/>
      <c r="D26" s="23">
        <v>88</v>
      </c>
      <c r="E26" s="23"/>
      <c r="F26" s="23">
        <v>65</v>
      </c>
      <c r="G26" s="23">
        <v>80</v>
      </c>
      <c r="H26" s="23"/>
      <c r="I26" s="23"/>
      <c r="J26" s="35">
        <f t="shared" si="2"/>
        <v>77.666666666666671</v>
      </c>
      <c r="K26" s="23" t="str">
        <f t="shared" si="1"/>
        <v>C</v>
      </c>
      <c r="L26" s="23"/>
      <c r="M26" s="15"/>
      <c r="N26" s="15"/>
      <c r="O26" s="17"/>
    </row>
    <row r="27" spans="1:15" ht="21.95" customHeight="1" x14ac:dyDescent="0.25">
      <c r="A27" s="6" t="s">
        <v>20</v>
      </c>
      <c r="B27" s="1" t="s">
        <v>83</v>
      </c>
      <c r="C27" s="7"/>
      <c r="D27" s="7"/>
      <c r="E27" s="7">
        <v>70</v>
      </c>
      <c r="F27" s="7">
        <v>75</v>
      </c>
      <c r="G27" s="7">
        <v>75</v>
      </c>
      <c r="H27" s="7"/>
      <c r="I27" s="7"/>
      <c r="J27" s="38">
        <f t="shared" si="2"/>
        <v>73.333333333333329</v>
      </c>
      <c r="K27" s="7" t="str">
        <f t="shared" si="1"/>
        <v>K</v>
      </c>
      <c r="L27" s="7"/>
      <c r="M27" s="15"/>
      <c r="N27" s="15"/>
      <c r="O27" s="17"/>
    </row>
    <row r="28" spans="1:15" ht="21.95" customHeight="1" x14ac:dyDescent="0.25">
      <c r="A28" s="21" t="s">
        <v>21</v>
      </c>
      <c r="B28" s="22" t="s">
        <v>84</v>
      </c>
      <c r="C28" s="23"/>
      <c r="D28" s="23"/>
      <c r="E28" s="23">
        <v>70</v>
      </c>
      <c r="F28" s="23">
        <v>65</v>
      </c>
      <c r="G28" s="23">
        <v>80</v>
      </c>
      <c r="H28" s="23"/>
      <c r="I28" s="23"/>
      <c r="J28" s="35">
        <f t="shared" si="2"/>
        <v>71.666666666666671</v>
      </c>
      <c r="K28" s="23" t="str">
        <f t="shared" si="1"/>
        <v>K</v>
      </c>
      <c r="L28" s="23"/>
      <c r="M28" s="15"/>
      <c r="N28" s="15"/>
      <c r="O28" s="17"/>
    </row>
    <row r="29" spans="1:15" ht="21.95" customHeight="1" x14ac:dyDescent="0.25">
      <c r="A29" s="6" t="s">
        <v>22</v>
      </c>
      <c r="B29" s="1" t="s">
        <v>85</v>
      </c>
      <c r="C29" s="7"/>
      <c r="D29" s="7"/>
      <c r="E29" s="7">
        <v>70</v>
      </c>
      <c r="F29" s="7">
        <v>60</v>
      </c>
      <c r="G29" s="7">
        <v>70</v>
      </c>
      <c r="H29" s="7"/>
      <c r="I29" s="7"/>
      <c r="J29" s="38">
        <f t="shared" si="2"/>
        <v>66.666666666666671</v>
      </c>
      <c r="K29" s="7" t="str">
        <f t="shared" si="1"/>
        <v>K</v>
      </c>
      <c r="L29" s="7"/>
      <c r="M29" s="15"/>
      <c r="N29" s="15"/>
      <c r="O29" s="17"/>
    </row>
    <row r="30" spans="1:15" ht="21.95" customHeight="1" x14ac:dyDescent="0.25">
      <c r="A30" s="21" t="s">
        <v>23</v>
      </c>
      <c r="B30" s="22" t="s">
        <v>86</v>
      </c>
      <c r="C30" s="23"/>
      <c r="D30" s="23"/>
      <c r="E30" s="23">
        <v>70</v>
      </c>
      <c r="F30" s="23">
        <v>75</v>
      </c>
      <c r="G30" s="23">
        <v>75</v>
      </c>
      <c r="H30" s="23"/>
      <c r="I30" s="23"/>
      <c r="J30" s="35">
        <f t="shared" si="2"/>
        <v>73.333333333333329</v>
      </c>
      <c r="K30" s="23" t="str">
        <f t="shared" si="1"/>
        <v>K</v>
      </c>
      <c r="L30" s="23"/>
      <c r="M30" s="15"/>
      <c r="N30" s="15"/>
      <c r="O30" s="17"/>
    </row>
    <row r="31" spans="1:15" ht="21.95" customHeight="1" x14ac:dyDescent="0.25">
      <c r="A31" s="6" t="s">
        <v>24</v>
      </c>
      <c r="B31" s="1" t="s">
        <v>87</v>
      </c>
      <c r="C31" s="7">
        <v>88</v>
      </c>
      <c r="D31" s="7"/>
      <c r="E31" s="7"/>
      <c r="F31" s="7">
        <v>80</v>
      </c>
      <c r="G31" s="7">
        <v>86</v>
      </c>
      <c r="H31" s="7"/>
      <c r="I31" s="7"/>
      <c r="J31" s="38">
        <f t="shared" si="2"/>
        <v>84.666666666666671</v>
      </c>
      <c r="K31" s="7" t="str">
        <f t="shared" si="1"/>
        <v>B</v>
      </c>
      <c r="L31" s="7"/>
      <c r="M31" s="15"/>
      <c r="N31" s="15"/>
      <c r="O31" s="17"/>
    </row>
    <row r="32" spans="1:15" ht="21.95" customHeight="1" x14ac:dyDescent="0.25">
      <c r="A32" s="21" t="s">
        <v>25</v>
      </c>
      <c r="B32" s="22" t="s">
        <v>88</v>
      </c>
      <c r="C32" s="23">
        <v>92</v>
      </c>
      <c r="D32" s="23"/>
      <c r="E32" s="23"/>
      <c r="F32" s="23">
        <v>80</v>
      </c>
      <c r="G32" s="23">
        <v>88</v>
      </c>
      <c r="H32" s="23"/>
      <c r="I32" s="23"/>
      <c r="J32" s="35">
        <f t="shared" si="2"/>
        <v>86.666666666666671</v>
      </c>
      <c r="K32" s="23" t="str">
        <f t="shared" si="1"/>
        <v>B</v>
      </c>
      <c r="L32" s="23"/>
      <c r="M32" s="18"/>
      <c r="O32" s="14"/>
    </row>
    <row r="33" spans="1:15" ht="21.95" customHeight="1" x14ac:dyDescent="0.25">
      <c r="A33" s="6" t="s">
        <v>26</v>
      </c>
      <c r="B33" s="1" t="s">
        <v>89</v>
      </c>
      <c r="C33" s="7">
        <v>90</v>
      </c>
      <c r="D33" s="7"/>
      <c r="E33" s="7"/>
      <c r="F33" s="7">
        <v>79</v>
      </c>
      <c r="G33" s="7">
        <v>85</v>
      </c>
      <c r="H33" s="7"/>
      <c r="I33" s="7"/>
      <c r="J33" s="38">
        <f t="shared" si="2"/>
        <v>84.666666666666671</v>
      </c>
      <c r="K33" s="7" t="str">
        <f t="shared" si="1"/>
        <v>B</v>
      </c>
      <c r="L33" s="7"/>
      <c r="O33" s="14"/>
    </row>
    <row r="34" spans="1:15" ht="21.95" customHeight="1" x14ac:dyDescent="0.25">
      <c r="A34" s="21" t="s">
        <v>27</v>
      </c>
      <c r="B34" s="22" t="s">
        <v>90</v>
      </c>
      <c r="C34" s="23">
        <v>90</v>
      </c>
      <c r="D34" s="23"/>
      <c r="E34" s="23"/>
      <c r="F34" s="23">
        <v>80</v>
      </c>
      <c r="G34" s="23">
        <v>85</v>
      </c>
      <c r="H34" s="23"/>
      <c r="I34" s="23"/>
      <c r="J34" s="35">
        <f t="shared" si="2"/>
        <v>85</v>
      </c>
      <c r="K34" s="23" t="str">
        <f t="shared" si="1"/>
        <v>B</v>
      </c>
      <c r="L34" s="23"/>
      <c r="O34" s="14"/>
    </row>
    <row r="35" spans="1:15" ht="21.95" customHeight="1" x14ac:dyDescent="0.25">
      <c r="A35" s="6" t="s">
        <v>28</v>
      </c>
      <c r="B35" s="1" t="s">
        <v>91</v>
      </c>
      <c r="C35" s="7">
        <v>88</v>
      </c>
      <c r="D35" s="7"/>
      <c r="E35" s="7"/>
      <c r="F35" s="7">
        <v>78</v>
      </c>
      <c r="G35" s="7">
        <v>88</v>
      </c>
      <c r="H35" s="7"/>
      <c r="I35" s="7"/>
      <c r="J35" s="38">
        <f t="shared" si="2"/>
        <v>84.666666666666671</v>
      </c>
      <c r="K35" s="7" t="str">
        <f t="shared" si="1"/>
        <v>B</v>
      </c>
      <c r="L35" s="7"/>
      <c r="O35" s="14"/>
    </row>
    <row r="36" spans="1:15" ht="21.95" customHeight="1" x14ac:dyDescent="0.25">
      <c r="A36" s="21" t="s">
        <v>29</v>
      </c>
      <c r="B36" s="22" t="s">
        <v>92</v>
      </c>
      <c r="C36" s="23">
        <v>87</v>
      </c>
      <c r="D36" s="23"/>
      <c r="E36" s="23"/>
      <c r="F36" s="23">
        <v>75</v>
      </c>
      <c r="G36" s="23">
        <v>80</v>
      </c>
      <c r="H36" s="23"/>
      <c r="I36" s="23"/>
      <c r="J36" s="35">
        <f t="shared" si="2"/>
        <v>80.666666666666671</v>
      </c>
      <c r="K36" s="23" t="str">
        <f t="shared" si="1"/>
        <v>C</v>
      </c>
      <c r="L36" s="23"/>
      <c r="M36" s="19"/>
      <c r="O36" s="14"/>
    </row>
    <row r="37" spans="1:15" ht="21.95" customHeight="1" x14ac:dyDescent="0.25">
      <c r="A37" s="6" t="s">
        <v>30</v>
      </c>
      <c r="B37" s="1" t="s">
        <v>93</v>
      </c>
      <c r="C37" s="7">
        <v>86</v>
      </c>
      <c r="D37" s="7"/>
      <c r="E37" s="7"/>
      <c r="F37" s="7">
        <v>75</v>
      </c>
      <c r="G37" s="7">
        <v>80</v>
      </c>
      <c r="H37" s="7"/>
      <c r="I37" s="7"/>
      <c r="J37" s="38">
        <f t="shared" si="2"/>
        <v>80.333333333333329</v>
      </c>
      <c r="K37" s="7" t="str">
        <f t="shared" si="1"/>
        <v>C</v>
      </c>
      <c r="L37" s="7"/>
      <c r="M37" s="19"/>
      <c r="O37" s="14"/>
    </row>
    <row r="38" spans="1:15" ht="21.95" customHeight="1" x14ac:dyDescent="0.25">
      <c r="A38" s="21" t="s">
        <v>31</v>
      </c>
      <c r="B38" s="22" t="s">
        <v>94</v>
      </c>
      <c r="C38" s="23">
        <v>80</v>
      </c>
      <c r="D38" s="23"/>
      <c r="E38" s="23"/>
      <c r="F38" s="23">
        <v>60</v>
      </c>
      <c r="G38" s="23">
        <v>65</v>
      </c>
      <c r="H38" s="23"/>
      <c r="I38" s="23"/>
      <c r="J38" s="35">
        <f t="shared" si="2"/>
        <v>68.333333333333329</v>
      </c>
      <c r="K38" s="23" t="str">
        <f t="shared" si="1"/>
        <v>K</v>
      </c>
      <c r="L38" s="23"/>
      <c r="O38" s="14"/>
    </row>
    <row r="39" spans="1:15" ht="21.95" customHeight="1" x14ac:dyDescent="0.25">
      <c r="A39" s="6" t="s">
        <v>32</v>
      </c>
      <c r="B39" s="1" t="s">
        <v>95</v>
      </c>
      <c r="C39" s="7"/>
      <c r="D39" s="7"/>
      <c r="E39" s="7"/>
      <c r="F39" s="7">
        <v>85</v>
      </c>
      <c r="G39" s="7">
        <v>80</v>
      </c>
      <c r="H39" s="7"/>
      <c r="I39" s="7">
        <v>90</v>
      </c>
      <c r="J39" s="38">
        <f t="shared" si="2"/>
        <v>85</v>
      </c>
      <c r="K39" s="7" t="str">
        <f t="shared" si="1"/>
        <v>B</v>
      </c>
      <c r="L39" s="7"/>
      <c r="O39" s="14"/>
    </row>
    <row r="40" spans="1:15" ht="21.95" customHeight="1" x14ac:dyDescent="0.25">
      <c r="A40" s="21" t="s">
        <v>33</v>
      </c>
      <c r="B40" s="22" t="s">
        <v>96</v>
      </c>
      <c r="C40" s="23"/>
      <c r="D40" s="23"/>
      <c r="E40" s="23"/>
      <c r="F40" s="23">
        <v>88</v>
      </c>
      <c r="G40" s="23">
        <v>75</v>
      </c>
      <c r="H40" s="23"/>
      <c r="I40" s="23">
        <v>91</v>
      </c>
      <c r="J40" s="35">
        <f t="shared" si="2"/>
        <v>84.666666666666671</v>
      </c>
      <c r="K40" s="23" t="str">
        <f t="shared" si="1"/>
        <v>B</v>
      </c>
      <c r="L40" s="23"/>
      <c r="O40" s="14"/>
    </row>
    <row r="41" spans="1:15" ht="21.95" customHeight="1" x14ac:dyDescent="0.25">
      <c r="A41" s="6" t="s">
        <v>34</v>
      </c>
      <c r="B41" s="1" t="s">
        <v>97</v>
      </c>
      <c r="C41" s="7"/>
      <c r="D41" s="7">
        <v>85</v>
      </c>
      <c r="E41" s="7"/>
      <c r="F41" s="7">
        <v>65</v>
      </c>
      <c r="G41" s="7">
        <v>80</v>
      </c>
      <c r="H41" s="7"/>
      <c r="I41" s="7"/>
      <c r="J41" s="38">
        <f t="shared" si="2"/>
        <v>76.666666666666671</v>
      </c>
      <c r="K41" s="7" t="str">
        <f t="shared" si="1"/>
        <v>C</v>
      </c>
      <c r="L41" s="7"/>
      <c r="O41" s="14"/>
    </row>
    <row r="42" spans="1:15" ht="21.95" customHeight="1" x14ac:dyDescent="0.25">
      <c r="A42" s="21" t="s">
        <v>35</v>
      </c>
      <c r="B42" s="22" t="s">
        <v>98</v>
      </c>
      <c r="C42" s="23"/>
      <c r="D42" s="23">
        <v>85</v>
      </c>
      <c r="E42" s="23"/>
      <c r="F42" s="23">
        <v>65</v>
      </c>
      <c r="G42" s="23">
        <v>80</v>
      </c>
      <c r="H42" s="23"/>
      <c r="I42" s="23"/>
      <c r="J42" s="35">
        <f t="shared" si="2"/>
        <v>76.666666666666671</v>
      </c>
      <c r="K42" s="23" t="str">
        <f t="shared" si="1"/>
        <v>C</v>
      </c>
      <c r="L42" s="23"/>
      <c r="O42" s="14"/>
    </row>
    <row r="43" spans="1:15" ht="21.95" customHeight="1" x14ac:dyDescent="0.25">
      <c r="A43" s="6" t="s">
        <v>36</v>
      </c>
      <c r="B43" s="1" t="s">
        <v>99</v>
      </c>
      <c r="C43" s="7"/>
      <c r="D43" s="7">
        <v>85</v>
      </c>
      <c r="E43" s="7"/>
      <c r="F43" s="7">
        <v>65</v>
      </c>
      <c r="G43" s="7">
        <v>80</v>
      </c>
      <c r="H43" s="7"/>
      <c r="I43" s="7"/>
      <c r="J43" s="38">
        <f t="shared" si="2"/>
        <v>76.666666666666671</v>
      </c>
      <c r="K43" s="7" t="str">
        <f t="shared" si="1"/>
        <v>C</v>
      </c>
      <c r="L43" s="7"/>
      <c r="O43" s="14"/>
    </row>
    <row r="44" spans="1:15" ht="21.95" customHeight="1" x14ac:dyDescent="0.25">
      <c r="A44" s="21" t="s">
        <v>37</v>
      </c>
      <c r="B44" s="22" t="s">
        <v>100</v>
      </c>
      <c r="C44" s="23">
        <v>75</v>
      </c>
      <c r="D44" s="23"/>
      <c r="E44" s="23"/>
      <c r="F44" s="23">
        <v>70</v>
      </c>
      <c r="G44" s="23">
        <v>65</v>
      </c>
      <c r="H44" s="23"/>
      <c r="I44" s="23"/>
      <c r="J44" s="35">
        <f t="shared" si="2"/>
        <v>70</v>
      </c>
      <c r="K44" s="23" t="str">
        <f t="shared" si="1"/>
        <v>K</v>
      </c>
      <c r="L44" s="23"/>
      <c r="O44" s="14"/>
    </row>
    <row r="45" spans="1:15" ht="21.95" customHeight="1" x14ac:dyDescent="0.25">
      <c r="A45" s="6" t="s">
        <v>38</v>
      </c>
      <c r="B45" s="1" t="s">
        <v>101</v>
      </c>
      <c r="C45" s="7">
        <v>75</v>
      </c>
      <c r="D45" s="7"/>
      <c r="E45" s="7"/>
      <c r="F45" s="7">
        <v>83</v>
      </c>
      <c r="G45" s="7">
        <v>90</v>
      </c>
      <c r="H45" s="7">
        <v>90</v>
      </c>
      <c r="I45" s="7"/>
      <c r="J45" s="38">
        <f>AVERAGE(C45:I45)</f>
        <v>84.5</v>
      </c>
      <c r="K45" s="7" t="str">
        <f t="shared" si="1"/>
        <v>B</v>
      </c>
      <c r="L45" s="7"/>
      <c r="M45" s="40"/>
      <c r="N45" s="41"/>
      <c r="O45" s="42"/>
    </row>
    <row r="47" spans="1:15" ht="15.75" x14ac:dyDescent="0.25">
      <c r="B47" s="3" t="s">
        <v>57</v>
      </c>
      <c r="C47" s="4"/>
      <c r="D47" s="4"/>
      <c r="E47" s="4"/>
      <c r="F47" s="4"/>
      <c r="G47" s="4"/>
      <c r="H47" s="4"/>
      <c r="I47" s="4" t="s">
        <v>102</v>
      </c>
    </row>
    <row r="48" spans="1:15" ht="15.75" x14ac:dyDescent="0.25">
      <c r="B48" s="3" t="s">
        <v>56</v>
      </c>
      <c r="C48" s="4"/>
      <c r="D48" s="4"/>
      <c r="E48" s="4"/>
      <c r="F48" s="4"/>
      <c r="G48" s="4"/>
      <c r="H48" s="4"/>
      <c r="I48" s="4" t="s">
        <v>58</v>
      </c>
    </row>
    <row r="49" spans="2:9" ht="15.75" x14ac:dyDescent="0.25">
      <c r="B49" s="4"/>
      <c r="C49" s="4"/>
      <c r="D49" s="4"/>
      <c r="E49" s="4"/>
      <c r="F49" s="4"/>
      <c r="G49" s="4"/>
      <c r="H49" s="4"/>
      <c r="I49" s="4"/>
    </row>
    <row r="50" spans="2:9" ht="15.75" x14ac:dyDescent="0.25">
      <c r="B50" s="4"/>
      <c r="C50" s="4"/>
      <c r="D50" s="4"/>
      <c r="E50" s="4"/>
      <c r="F50" s="4"/>
      <c r="G50" s="4"/>
      <c r="H50" s="4"/>
      <c r="I50" s="4"/>
    </row>
    <row r="51" spans="2:9" ht="15.75" x14ac:dyDescent="0.25">
      <c r="B51" s="4"/>
      <c r="C51" s="4"/>
      <c r="D51" s="4"/>
      <c r="E51" s="4"/>
      <c r="F51" s="4"/>
      <c r="G51" s="4"/>
      <c r="H51" s="4"/>
      <c r="I51" s="4"/>
    </row>
    <row r="52" spans="2:9" ht="15.75" x14ac:dyDescent="0.25">
      <c r="B52" s="4"/>
      <c r="C52" s="4"/>
      <c r="D52" s="4"/>
      <c r="E52" s="4"/>
      <c r="F52" s="4"/>
      <c r="G52" s="4"/>
      <c r="H52" s="4"/>
      <c r="I52" s="4"/>
    </row>
    <row r="53" spans="2:9" ht="15.75" x14ac:dyDescent="0.25">
      <c r="B53" s="4"/>
      <c r="C53" s="4"/>
      <c r="D53" s="4"/>
      <c r="E53" s="4"/>
      <c r="F53" s="4"/>
      <c r="G53" s="4"/>
      <c r="H53" s="4"/>
      <c r="I53" s="4"/>
    </row>
    <row r="54" spans="2:9" ht="15.75" x14ac:dyDescent="0.25">
      <c r="B54" s="5" t="s">
        <v>61</v>
      </c>
      <c r="C54" s="4"/>
      <c r="D54" s="4"/>
      <c r="E54" s="4"/>
      <c r="F54" s="4"/>
      <c r="G54" s="4"/>
      <c r="H54" s="4"/>
      <c r="I54" s="5" t="s">
        <v>59</v>
      </c>
    </row>
  </sheetData>
  <mergeCells count="4">
    <mergeCell ref="A2:O2"/>
    <mergeCell ref="A3:O3"/>
    <mergeCell ref="A4:O4"/>
    <mergeCell ref="M7:O7"/>
  </mergeCells>
  <phoneticPr fontId="5" type="noConversion"/>
  <pageMargins left="0.70866141732283472" right="0.70866141732283472" top="0.35433070866141736" bottom="0.35433070866141736" header="0.31496062992125984" footer="0.31496062992125984"/>
  <pageSetup paperSize="10000" scale="75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2BE9-0B05-46E7-9D21-8A6C131FC3F0}">
  <dimension ref="A1:Q59"/>
  <sheetViews>
    <sheetView zoomScale="80" zoomScaleNormal="80" zoomScaleSheetLayoutView="130" workbookViewId="0">
      <pane xSplit="1" ySplit="2" topLeftCell="B28" activePane="bottomRight" state="frozen"/>
      <selection pane="topRight" activeCell="B1" sqref="B1"/>
      <selection pane="bottomLeft" activeCell="A3" sqref="A3"/>
      <selection pane="bottomRight" activeCell="M33" sqref="M33"/>
    </sheetView>
  </sheetViews>
  <sheetFormatPr defaultRowHeight="15.75" x14ac:dyDescent="0.25"/>
  <cols>
    <col min="1" max="1" width="4.140625" style="24" bestFit="1" customWidth="1"/>
    <col min="2" max="2" width="27.28515625" style="25" bestFit="1" customWidth="1"/>
    <col min="3" max="17" width="5.7109375" style="25" customWidth="1"/>
    <col min="18" max="16384" width="9.140625" style="25"/>
  </cols>
  <sheetData>
    <row r="1" spans="1:17" ht="26.25" customHeight="1" x14ac:dyDescent="0.25">
      <c r="A1" s="46" t="s">
        <v>103</v>
      </c>
      <c r="B1" s="46" t="s">
        <v>158</v>
      </c>
      <c r="C1" s="45" t="s">
        <v>159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s="26" customFormat="1" ht="110.25" customHeight="1" x14ac:dyDescent="0.25">
      <c r="A2" s="46"/>
      <c r="B2" s="46"/>
      <c r="C2" s="29" t="s">
        <v>160</v>
      </c>
      <c r="D2" s="29" t="s">
        <v>161</v>
      </c>
      <c r="E2" s="29" t="s">
        <v>162</v>
      </c>
      <c r="F2" s="29" t="s">
        <v>163</v>
      </c>
      <c r="G2" s="29" t="s">
        <v>164</v>
      </c>
      <c r="H2" s="29" t="s">
        <v>165</v>
      </c>
      <c r="I2" s="29" t="s">
        <v>166</v>
      </c>
      <c r="J2" s="29" t="s">
        <v>167</v>
      </c>
      <c r="K2" s="29" t="s">
        <v>174</v>
      </c>
      <c r="L2" s="29" t="s">
        <v>168</v>
      </c>
      <c r="M2" s="29" t="s">
        <v>169</v>
      </c>
      <c r="N2" s="29" t="s">
        <v>170</v>
      </c>
      <c r="O2" s="29" t="s">
        <v>171</v>
      </c>
      <c r="P2" s="29" t="s">
        <v>172</v>
      </c>
      <c r="Q2" s="29" t="s">
        <v>173</v>
      </c>
    </row>
    <row r="3" spans="1:17" ht="20.100000000000001" customHeight="1" x14ac:dyDescent="0.25">
      <c r="A3" s="27">
        <v>1</v>
      </c>
      <c r="B3" s="28" t="s">
        <v>104</v>
      </c>
      <c r="C3" s="36"/>
      <c r="D3" s="37"/>
      <c r="E3" s="37"/>
      <c r="F3" s="37"/>
      <c r="G3" s="37"/>
      <c r="H3" s="37"/>
      <c r="I3" s="37"/>
      <c r="J3" s="37"/>
      <c r="K3" s="37"/>
      <c r="L3" s="36" t="s">
        <v>176</v>
      </c>
      <c r="M3" s="37"/>
      <c r="N3" s="37"/>
      <c r="O3" s="37"/>
      <c r="P3" s="37"/>
      <c r="Q3" s="37"/>
    </row>
    <row r="4" spans="1:17" ht="20.100000000000001" customHeight="1" x14ac:dyDescent="0.25">
      <c r="A4" s="27">
        <v>2</v>
      </c>
      <c r="B4" s="28" t="s">
        <v>105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6" t="s">
        <v>176</v>
      </c>
      <c r="N4" s="37"/>
      <c r="O4" s="37"/>
      <c r="P4" s="37"/>
      <c r="Q4" s="37"/>
    </row>
    <row r="5" spans="1:17" ht="20.100000000000001" customHeight="1" x14ac:dyDescent="0.25">
      <c r="A5" s="27">
        <v>3</v>
      </c>
      <c r="B5" s="28" t="s">
        <v>106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spans="1:17" ht="20.100000000000001" customHeight="1" x14ac:dyDescent="0.25">
      <c r="A6" s="27">
        <v>4</v>
      </c>
      <c r="B6" s="28" t="s">
        <v>107</v>
      </c>
      <c r="C6" s="37"/>
      <c r="D6" s="37"/>
      <c r="E6" s="37"/>
      <c r="F6" s="37"/>
      <c r="G6" s="37"/>
      <c r="H6" s="37"/>
      <c r="I6" s="37"/>
      <c r="J6" s="36"/>
      <c r="K6" s="37"/>
      <c r="L6" s="36" t="s">
        <v>176</v>
      </c>
      <c r="M6" s="37"/>
      <c r="N6" s="37"/>
      <c r="O6" s="37"/>
      <c r="P6" s="37"/>
      <c r="Q6" s="37"/>
    </row>
    <row r="7" spans="1:17" ht="20.100000000000001" customHeight="1" x14ac:dyDescent="0.25">
      <c r="A7" s="27">
        <v>5</v>
      </c>
      <c r="B7" s="28" t="s">
        <v>108</v>
      </c>
      <c r="C7" s="37"/>
      <c r="D7" s="37"/>
      <c r="E7" s="36" t="s">
        <v>176</v>
      </c>
      <c r="F7" s="37"/>
      <c r="G7" s="37"/>
      <c r="H7" s="37"/>
      <c r="I7" s="37"/>
      <c r="J7" s="37"/>
      <c r="K7" s="36" t="s">
        <v>176</v>
      </c>
      <c r="L7" s="37"/>
      <c r="M7" s="37"/>
      <c r="N7" s="37"/>
      <c r="O7" s="37"/>
      <c r="P7" s="37"/>
      <c r="Q7" s="37"/>
    </row>
    <row r="8" spans="1:17" ht="20.100000000000001" customHeight="1" x14ac:dyDescent="0.25">
      <c r="A8" s="27">
        <v>6</v>
      </c>
      <c r="B8" s="28" t="s">
        <v>109</v>
      </c>
      <c r="C8" s="37"/>
      <c r="D8" s="37"/>
      <c r="E8" s="37"/>
      <c r="F8" s="37"/>
      <c r="G8" s="37"/>
      <c r="H8" s="36" t="s">
        <v>176</v>
      </c>
      <c r="I8" s="37"/>
      <c r="J8" s="37"/>
      <c r="K8" s="36" t="s">
        <v>176</v>
      </c>
      <c r="L8" s="37"/>
      <c r="M8" s="37"/>
      <c r="N8" s="37"/>
      <c r="O8" s="37"/>
      <c r="P8" s="37"/>
      <c r="Q8" s="37"/>
    </row>
    <row r="9" spans="1:17" ht="20.100000000000001" customHeight="1" x14ac:dyDescent="0.25">
      <c r="A9" s="27">
        <v>7</v>
      </c>
      <c r="B9" s="28" t="s">
        <v>110</v>
      </c>
      <c r="C9" s="37"/>
      <c r="D9" s="37"/>
      <c r="E9" s="37"/>
      <c r="F9" s="37"/>
      <c r="G9" s="37"/>
      <c r="H9" s="37"/>
      <c r="I9" s="37"/>
      <c r="J9" s="37"/>
      <c r="K9" s="37"/>
      <c r="L9" s="36" t="s">
        <v>176</v>
      </c>
      <c r="M9" s="37"/>
      <c r="N9" s="37"/>
      <c r="O9" s="37"/>
      <c r="P9" s="37"/>
      <c r="Q9" s="37"/>
    </row>
    <row r="10" spans="1:17" ht="20.100000000000001" customHeight="1" x14ac:dyDescent="0.25">
      <c r="A10" s="27">
        <v>8</v>
      </c>
      <c r="B10" s="28" t="s">
        <v>111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6" t="s">
        <v>176</v>
      </c>
      <c r="N10" s="37"/>
      <c r="O10" s="37"/>
      <c r="P10" s="37"/>
      <c r="Q10" s="37"/>
    </row>
    <row r="11" spans="1:17" ht="20.100000000000001" customHeight="1" x14ac:dyDescent="0.25">
      <c r="A11" s="27">
        <v>9</v>
      </c>
      <c r="B11" s="28" t="s">
        <v>112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6" t="s">
        <v>176</v>
      </c>
      <c r="N11" s="37"/>
      <c r="O11" s="37"/>
      <c r="P11" s="37"/>
      <c r="Q11" s="37"/>
    </row>
    <row r="12" spans="1:17" ht="20.100000000000001" customHeight="1" x14ac:dyDescent="0.25">
      <c r="A12" s="27">
        <v>10</v>
      </c>
      <c r="B12" s="28" t="s">
        <v>180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</row>
    <row r="13" spans="1:17" ht="20.100000000000001" customHeight="1" x14ac:dyDescent="0.25">
      <c r="A13" s="27">
        <v>11</v>
      </c>
      <c r="B13" s="28" t="s">
        <v>113</v>
      </c>
      <c r="C13" s="37"/>
      <c r="D13" s="37"/>
      <c r="E13" s="37"/>
      <c r="F13" s="37"/>
      <c r="G13" s="37"/>
      <c r="H13" s="37"/>
      <c r="I13" s="37"/>
      <c r="J13" s="36" t="s">
        <v>176</v>
      </c>
      <c r="K13" s="37"/>
      <c r="L13" s="37"/>
      <c r="M13" s="37"/>
      <c r="N13" s="37"/>
      <c r="O13" s="37"/>
      <c r="P13" s="37"/>
      <c r="Q13" s="37"/>
    </row>
    <row r="14" spans="1:17" ht="20.100000000000001" customHeight="1" x14ac:dyDescent="0.25">
      <c r="A14" s="27">
        <v>12</v>
      </c>
      <c r="B14" s="28" t="s">
        <v>114</v>
      </c>
      <c r="C14" s="37"/>
      <c r="D14" s="36" t="s">
        <v>176</v>
      </c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</row>
    <row r="15" spans="1:17" ht="20.100000000000001" customHeight="1" x14ac:dyDescent="0.25">
      <c r="A15" s="27">
        <v>13</v>
      </c>
      <c r="B15" s="28" t="s">
        <v>115</v>
      </c>
      <c r="C15" s="37"/>
      <c r="D15" s="37"/>
      <c r="E15" s="37"/>
      <c r="F15" s="37"/>
      <c r="G15" s="37"/>
      <c r="H15" s="37"/>
      <c r="I15" s="36" t="s">
        <v>176</v>
      </c>
      <c r="J15" s="37"/>
      <c r="K15" s="37"/>
      <c r="L15" s="37"/>
      <c r="M15" s="37"/>
      <c r="N15" s="37"/>
      <c r="O15" s="37"/>
      <c r="P15" s="37"/>
      <c r="Q15" s="37"/>
    </row>
    <row r="16" spans="1:17" ht="20.100000000000001" customHeight="1" x14ac:dyDescent="0.25">
      <c r="A16" s="27">
        <v>14</v>
      </c>
      <c r="B16" s="28" t="s">
        <v>116</v>
      </c>
      <c r="C16" s="37"/>
      <c r="D16" s="37"/>
      <c r="E16" s="37"/>
      <c r="F16" s="37"/>
      <c r="G16" s="37"/>
      <c r="H16" s="37"/>
      <c r="I16" s="37"/>
      <c r="J16" s="37"/>
      <c r="K16" s="37"/>
      <c r="L16" s="36" t="s">
        <v>176</v>
      </c>
      <c r="M16" s="37"/>
      <c r="N16" s="37"/>
      <c r="O16" s="37"/>
      <c r="P16" s="37"/>
      <c r="Q16" s="37"/>
    </row>
    <row r="17" spans="1:17" ht="20.100000000000001" customHeight="1" x14ac:dyDescent="0.25">
      <c r="A17" s="27">
        <v>15</v>
      </c>
      <c r="B17" s="28" t="s">
        <v>117</v>
      </c>
      <c r="C17" s="36" t="s">
        <v>176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</row>
    <row r="18" spans="1:17" ht="20.100000000000001" customHeight="1" x14ac:dyDescent="0.25">
      <c r="A18" s="27">
        <v>16</v>
      </c>
      <c r="B18" s="28" t="s">
        <v>118</v>
      </c>
      <c r="C18" s="37"/>
      <c r="D18" s="37"/>
      <c r="E18" s="37"/>
      <c r="F18" s="37"/>
      <c r="G18" s="37"/>
      <c r="H18" s="37"/>
      <c r="I18" s="37"/>
      <c r="J18" s="37"/>
      <c r="K18" s="37"/>
      <c r="L18" s="36" t="s">
        <v>176</v>
      </c>
      <c r="M18" s="37"/>
      <c r="N18" s="37"/>
      <c r="O18" s="37"/>
      <c r="P18" s="37"/>
      <c r="Q18" s="37"/>
    </row>
    <row r="19" spans="1:17" ht="20.100000000000001" customHeight="1" x14ac:dyDescent="0.25">
      <c r="A19" s="27">
        <v>17</v>
      </c>
      <c r="B19" s="28" t="s">
        <v>119</v>
      </c>
      <c r="C19" s="37"/>
      <c r="D19" s="37"/>
      <c r="E19" s="37"/>
      <c r="F19" s="37"/>
      <c r="G19" s="37"/>
      <c r="H19" s="37"/>
      <c r="I19" s="37"/>
      <c r="J19" s="37"/>
      <c r="K19" s="37"/>
      <c r="L19" s="36" t="s">
        <v>176</v>
      </c>
      <c r="M19" s="37"/>
      <c r="N19" s="37"/>
      <c r="O19" s="37"/>
      <c r="P19" s="37"/>
      <c r="Q19" s="37"/>
    </row>
    <row r="20" spans="1:17" ht="20.100000000000001" customHeight="1" x14ac:dyDescent="0.25">
      <c r="A20" s="27">
        <v>18</v>
      </c>
      <c r="B20" s="28" t="s">
        <v>120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6" t="s">
        <v>176</v>
      </c>
      <c r="N20" s="37"/>
      <c r="O20" s="37"/>
      <c r="P20" s="37"/>
      <c r="Q20" s="37"/>
    </row>
    <row r="21" spans="1:17" ht="20.100000000000001" customHeight="1" x14ac:dyDescent="0.25">
      <c r="A21" s="27">
        <v>19</v>
      </c>
      <c r="B21" s="28" t="s">
        <v>121</v>
      </c>
      <c r="C21" s="37"/>
      <c r="D21" s="37"/>
      <c r="E21" s="37"/>
      <c r="F21" s="37"/>
      <c r="G21" s="37"/>
      <c r="H21" s="37"/>
      <c r="I21" s="37"/>
      <c r="J21" s="37"/>
      <c r="K21" s="37"/>
      <c r="L21" s="36" t="s">
        <v>176</v>
      </c>
      <c r="M21" s="37"/>
      <c r="N21" s="37"/>
      <c r="O21" s="37"/>
      <c r="P21" s="37"/>
      <c r="Q21" s="37"/>
    </row>
    <row r="22" spans="1:17" ht="20.100000000000001" customHeight="1" x14ac:dyDescent="0.25">
      <c r="A22" s="27">
        <v>20</v>
      </c>
      <c r="B22" s="28" t="s">
        <v>122</v>
      </c>
      <c r="C22" s="37"/>
      <c r="D22" s="37"/>
      <c r="E22" s="37"/>
      <c r="F22" s="36" t="s">
        <v>176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</row>
    <row r="23" spans="1:17" ht="20.100000000000001" customHeight="1" x14ac:dyDescent="0.25">
      <c r="A23" s="27">
        <v>21</v>
      </c>
      <c r="B23" s="28" t="s">
        <v>123</v>
      </c>
      <c r="C23" s="37"/>
      <c r="D23" s="37"/>
      <c r="E23" s="37"/>
      <c r="F23" s="37"/>
      <c r="G23" s="37"/>
      <c r="H23" s="37"/>
      <c r="I23" s="37"/>
      <c r="J23" s="37"/>
      <c r="K23" s="37"/>
      <c r="L23" s="36" t="s">
        <v>176</v>
      </c>
      <c r="M23" s="37"/>
      <c r="N23" s="37"/>
      <c r="O23" s="37"/>
      <c r="P23" s="37"/>
      <c r="Q23" s="37"/>
    </row>
    <row r="24" spans="1:17" ht="20.100000000000001" customHeight="1" x14ac:dyDescent="0.25">
      <c r="A24" s="27">
        <v>22</v>
      </c>
      <c r="B24" s="28" t="s">
        <v>124</v>
      </c>
      <c r="C24" s="37"/>
      <c r="D24" s="37"/>
      <c r="E24" s="37"/>
      <c r="F24" s="37"/>
      <c r="G24" s="37"/>
      <c r="H24" s="37"/>
      <c r="I24" s="37"/>
      <c r="J24" s="37"/>
      <c r="K24" s="37"/>
      <c r="L24" s="36" t="s">
        <v>176</v>
      </c>
      <c r="M24" s="37"/>
      <c r="N24" s="37"/>
      <c r="O24" s="37"/>
      <c r="P24" s="37"/>
      <c r="Q24" s="37"/>
    </row>
    <row r="25" spans="1:17" ht="20.100000000000001" customHeight="1" x14ac:dyDescent="0.25">
      <c r="A25" s="27">
        <v>23</v>
      </c>
      <c r="B25" s="28" t="s">
        <v>125</v>
      </c>
      <c r="C25" s="37"/>
      <c r="D25" s="37"/>
      <c r="E25" s="37"/>
      <c r="F25" s="37"/>
      <c r="G25" s="37"/>
      <c r="H25" s="36" t="s">
        <v>176</v>
      </c>
      <c r="I25" s="37"/>
      <c r="J25" s="37"/>
      <c r="K25" s="36" t="s">
        <v>176</v>
      </c>
      <c r="L25" s="37"/>
      <c r="M25" s="37"/>
      <c r="N25" s="37"/>
      <c r="O25" s="37"/>
      <c r="P25" s="37"/>
      <c r="Q25" s="37"/>
    </row>
    <row r="26" spans="1:17" ht="20.100000000000001" customHeight="1" x14ac:dyDescent="0.25">
      <c r="A26" s="27">
        <v>24</v>
      </c>
      <c r="B26" s="28" t="s">
        <v>126</v>
      </c>
      <c r="C26" s="37"/>
      <c r="D26" s="37"/>
      <c r="E26" s="37"/>
      <c r="F26" s="37"/>
      <c r="G26" s="37"/>
      <c r="H26" s="37"/>
      <c r="I26" s="37"/>
      <c r="J26" s="37"/>
      <c r="K26" s="37"/>
      <c r="L26" s="36" t="s">
        <v>176</v>
      </c>
      <c r="M26" s="37"/>
      <c r="N26" s="37"/>
      <c r="O26" s="37"/>
      <c r="P26" s="37"/>
      <c r="Q26" s="37"/>
    </row>
    <row r="27" spans="1:17" ht="20.100000000000001" customHeight="1" x14ac:dyDescent="0.25">
      <c r="A27" s="27">
        <v>25</v>
      </c>
      <c r="B27" s="28" t="s">
        <v>127</v>
      </c>
      <c r="C27" s="37"/>
      <c r="D27" s="37"/>
      <c r="E27" s="37"/>
      <c r="F27" s="37"/>
      <c r="G27" s="37"/>
      <c r="H27" s="37"/>
      <c r="I27" s="37"/>
      <c r="J27" s="37"/>
      <c r="K27" s="37"/>
      <c r="L27" s="36" t="s">
        <v>176</v>
      </c>
      <c r="M27" s="37"/>
      <c r="N27" s="37"/>
      <c r="O27" s="37"/>
      <c r="P27" s="37"/>
      <c r="Q27" s="37"/>
    </row>
    <row r="28" spans="1:17" ht="20.100000000000001" customHeight="1" x14ac:dyDescent="0.25">
      <c r="A28" s="27">
        <v>26</v>
      </c>
      <c r="B28" s="28" t="s">
        <v>128</v>
      </c>
      <c r="C28" s="37"/>
      <c r="D28" s="37"/>
      <c r="E28" s="37"/>
      <c r="G28" s="37"/>
      <c r="H28" s="37"/>
      <c r="I28" s="37"/>
      <c r="J28" s="37"/>
      <c r="K28" s="37"/>
      <c r="L28" s="37"/>
      <c r="M28" s="36" t="s">
        <v>176</v>
      </c>
      <c r="N28" s="37"/>
      <c r="O28" s="37"/>
      <c r="P28" s="37"/>
      <c r="Q28" s="37"/>
    </row>
    <row r="29" spans="1:17" ht="20.100000000000001" customHeight="1" x14ac:dyDescent="0.25">
      <c r="A29" s="27">
        <v>27</v>
      </c>
      <c r="B29" s="28" t="s">
        <v>129</v>
      </c>
      <c r="C29" s="37"/>
      <c r="D29" s="37"/>
      <c r="E29" s="37"/>
      <c r="G29" s="37"/>
      <c r="H29" s="36"/>
      <c r="I29" s="37"/>
      <c r="J29" s="37"/>
      <c r="K29" s="37"/>
      <c r="L29" s="37"/>
      <c r="M29" s="36" t="s">
        <v>176</v>
      </c>
      <c r="N29" s="37"/>
      <c r="O29" s="37"/>
      <c r="P29" s="37"/>
      <c r="Q29" s="37"/>
    </row>
    <row r="30" spans="1:17" ht="20.100000000000001" customHeight="1" x14ac:dyDescent="0.25">
      <c r="A30" s="27">
        <v>28</v>
      </c>
      <c r="B30" s="28" t="s">
        <v>130</v>
      </c>
      <c r="C30" s="37"/>
      <c r="D30" s="37"/>
      <c r="E30" s="37"/>
      <c r="F30" s="37"/>
      <c r="G30" s="37"/>
      <c r="H30" s="37"/>
      <c r="I30" s="36" t="s">
        <v>176</v>
      </c>
      <c r="J30" s="37"/>
      <c r="K30" s="36" t="s">
        <v>176</v>
      </c>
      <c r="L30" s="37"/>
      <c r="M30" s="37"/>
      <c r="N30" s="37"/>
      <c r="O30" s="37"/>
      <c r="P30" s="37"/>
      <c r="Q30" s="37"/>
    </row>
    <row r="31" spans="1:17" ht="20.100000000000001" customHeight="1" x14ac:dyDescent="0.25">
      <c r="A31" s="27">
        <v>29</v>
      </c>
      <c r="B31" s="28" t="s">
        <v>181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</row>
    <row r="32" spans="1:17" ht="20.100000000000001" customHeight="1" x14ac:dyDescent="0.25">
      <c r="A32" s="27">
        <v>30</v>
      </c>
      <c r="B32" s="28" t="s">
        <v>131</v>
      </c>
      <c r="C32" s="37"/>
      <c r="D32" s="37"/>
      <c r="E32" s="37"/>
      <c r="F32" s="37"/>
      <c r="G32" s="37"/>
      <c r="H32" s="37"/>
      <c r="I32" s="36" t="s">
        <v>176</v>
      </c>
      <c r="J32" s="37"/>
      <c r="K32" s="37"/>
      <c r="L32" s="37"/>
      <c r="M32" s="37"/>
      <c r="N32" s="37"/>
      <c r="O32" s="37"/>
      <c r="P32" s="37"/>
      <c r="Q32" s="37"/>
    </row>
    <row r="33" spans="1:17" ht="20.100000000000001" customHeight="1" x14ac:dyDescent="0.25">
      <c r="A33" s="27">
        <v>31</v>
      </c>
      <c r="B33" s="28" t="s">
        <v>132</v>
      </c>
      <c r="C33" s="37"/>
      <c r="D33" s="37"/>
      <c r="E33" s="37"/>
      <c r="F33" s="37"/>
      <c r="G33" s="37"/>
      <c r="H33" s="37"/>
      <c r="I33" s="37"/>
      <c r="J33" s="36" t="s">
        <v>176</v>
      </c>
      <c r="K33" s="37"/>
      <c r="L33" s="37"/>
      <c r="M33" s="37"/>
      <c r="N33" s="37"/>
      <c r="O33" s="37"/>
      <c r="P33" s="37"/>
      <c r="Q33" s="37"/>
    </row>
    <row r="34" spans="1:17" ht="20.100000000000001" customHeight="1" x14ac:dyDescent="0.25">
      <c r="A34" s="27">
        <v>32</v>
      </c>
      <c r="B34" s="28" t="s">
        <v>133</v>
      </c>
      <c r="C34" s="37"/>
      <c r="D34" s="37"/>
      <c r="E34" s="37"/>
      <c r="F34" s="37"/>
      <c r="G34" s="36"/>
      <c r="H34" s="36" t="s">
        <v>176</v>
      </c>
      <c r="I34" s="37"/>
      <c r="J34" s="37"/>
      <c r="K34" s="37"/>
      <c r="L34" s="37"/>
      <c r="M34" s="37"/>
      <c r="N34" s="37"/>
      <c r="O34" s="37"/>
      <c r="P34" s="37"/>
      <c r="Q34" s="37"/>
    </row>
    <row r="35" spans="1:17" ht="20.100000000000001" customHeight="1" x14ac:dyDescent="0.25">
      <c r="A35" s="27">
        <v>33</v>
      </c>
      <c r="B35" s="28" t="s">
        <v>134</v>
      </c>
      <c r="C35" s="37"/>
      <c r="D35" s="37"/>
      <c r="E35" s="37"/>
      <c r="F35" s="37"/>
      <c r="G35" s="37"/>
      <c r="H35" s="37"/>
      <c r="I35" s="36" t="s">
        <v>176</v>
      </c>
      <c r="J35" s="37"/>
      <c r="K35" s="37"/>
      <c r="L35" s="37"/>
      <c r="M35" s="37"/>
      <c r="N35" s="37"/>
      <c r="O35" s="37"/>
      <c r="P35" s="37"/>
      <c r="Q35" s="37"/>
    </row>
    <row r="36" spans="1:17" ht="20.100000000000001" customHeight="1" x14ac:dyDescent="0.25">
      <c r="A36" s="27">
        <v>34</v>
      </c>
      <c r="B36" s="28" t="s">
        <v>135</v>
      </c>
      <c r="C36" s="37"/>
      <c r="D36" s="37"/>
      <c r="E36" s="37"/>
      <c r="F36" s="36"/>
      <c r="G36" s="36" t="s">
        <v>176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</row>
    <row r="37" spans="1:17" ht="20.100000000000001" customHeight="1" x14ac:dyDescent="0.25">
      <c r="A37" s="27">
        <v>35</v>
      </c>
      <c r="B37" s="28" t="s">
        <v>136</v>
      </c>
      <c r="C37" s="37"/>
      <c r="D37" s="37"/>
      <c r="E37" s="37"/>
      <c r="F37" s="37"/>
      <c r="G37" s="37"/>
      <c r="H37" s="37"/>
      <c r="I37" s="37"/>
      <c r="J37" s="37"/>
      <c r="K37" s="36" t="s">
        <v>176</v>
      </c>
      <c r="L37" s="37"/>
      <c r="M37" s="37"/>
      <c r="N37" s="37"/>
      <c r="O37" s="37"/>
      <c r="P37" s="37"/>
      <c r="Q37" s="37"/>
    </row>
    <row r="38" spans="1:17" ht="20.100000000000001" customHeight="1" x14ac:dyDescent="0.25">
      <c r="A38" s="27">
        <v>36</v>
      </c>
      <c r="B38" s="28" t="s">
        <v>137</v>
      </c>
      <c r="C38" s="37"/>
      <c r="D38" s="37"/>
      <c r="E38" s="37"/>
      <c r="F38" s="37"/>
      <c r="G38" s="37"/>
      <c r="H38" s="37"/>
      <c r="I38" s="37"/>
      <c r="J38" s="36" t="s">
        <v>176</v>
      </c>
      <c r="K38" s="37"/>
      <c r="L38" s="37"/>
      <c r="M38" s="37"/>
      <c r="N38" s="37"/>
      <c r="O38" s="37"/>
      <c r="P38" s="37"/>
      <c r="Q38" s="37"/>
    </row>
    <row r="39" spans="1:17" ht="20.100000000000001" customHeight="1" x14ac:dyDescent="0.25">
      <c r="A39" s="27">
        <v>37</v>
      </c>
      <c r="B39" s="28" t="s">
        <v>138</v>
      </c>
      <c r="C39" s="37"/>
      <c r="D39" s="37"/>
      <c r="E39" s="37"/>
      <c r="F39" s="37"/>
      <c r="G39" s="37"/>
      <c r="H39" s="37"/>
      <c r="I39" s="37"/>
      <c r="J39" s="37"/>
      <c r="K39" s="37"/>
      <c r="L39" s="36" t="s">
        <v>176</v>
      </c>
      <c r="M39" s="37"/>
      <c r="N39" s="37"/>
      <c r="O39" s="37"/>
      <c r="P39" s="37"/>
      <c r="Q39" s="37"/>
    </row>
    <row r="40" spans="1:17" ht="20.100000000000001" customHeight="1" x14ac:dyDescent="0.25">
      <c r="A40" s="27">
        <v>38</v>
      </c>
      <c r="B40" s="28" t="s">
        <v>139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6" t="s">
        <v>176</v>
      </c>
      <c r="O40" s="37"/>
      <c r="P40" s="37"/>
      <c r="Q40" s="37"/>
    </row>
    <row r="41" spans="1:17" ht="20.100000000000001" customHeight="1" x14ac:dyDescent="0.25">
      <c r="A41" s="27">
        <v>39</v>
      </c>
      <c r="B41" s="28" t="s">
        <v>140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6" t="s">
        <v>176</v>
      </c>
      <c r="Q41" s="37"/>
    </row>
    <row r="42" spans="1:17" ht="20.100000000000001" customHeight="1" x14ac:dyDescent="0.25">
      <c r="A42" s="27">
        <v>40</v>
      </c>
      <c r="B42" s="28" t="s">
        <v>141</v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6" t="s">
        <v>176</v>
      </c>
      <c r="Q42" s="37"/>
    </row>
    <row r="43" spans="1:17" ht="20.100000000000001" customHeight="1" x14ac:dyDescent="0.25">
      <c r="A43" s="27">
        <v>41</v>
      </c>
      <c r="B43" s="28" t="s">
        <v>142</v>
      </c>
      <c r="C43" s="37"/>
      <c r="D43" s="37"/>
      <c r="E43" s="37"/>
      <c r="F43" s="37"/>
      <c r="G43" s="36" t="s">
        <v>176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</row>
    <row r="44" spans="1:17" ht="20.100000000000001" customHeight="1" x14ac:dyDescent="0.25">
      <c r="A44" s="27">
        <v>42</v>
      </c>
      <c r="B44" s="28" t="s">
        <v>143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6" t="s">
        <v>176</v>
      </c>
      <c r="O44" s="37"/>
      <c r="P44" s="37"/>
      <c r="Q44" s="37"/>
    </row>
    <row r="45" spans="1:17" ht="20.100000000000001" customHeight="1" x14ac:dyDescent="0.25">
      <c r="A45" s="27">
        <v>43</v>
      </c>
      <c r="B45" s="28" t="s">
        <v>144</v>
      </c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 t="s">
        <v>179</v>
      </c>
      <c r="Q45" s="37"/>
    </row>
    <row r="46" spans="1:17" ht="20.100000000000001" customHeight="1" x14ac:dyDescent="0.25">
      <c r="A46" s="27">
        <v>44</v>
      </c>
      <c r="B46" s="28" t="s">
        <v>145</v>
      </c>
      <c r="C46" s="37"/>
      <c r="D46" s="37"/>
      <c r="E46" s="37"/>
      <c r="F46" s="37"/>
      <c r="G46" s="37"/>
      <c r="H46" s="36" t="s">
        <v>176</v>
      </c>
      <c r="I46" s="37"/>
      <c r="J46" s="37"/>
      <c r="K46" s="37"/>
      <c r="L46" s="37"/>
      <c r="M46" s="37"/>
      <c r="N46" s="37"/>
      <c r="O46" s="37"/>
      <c r="P46" s="37"/>
      <c r="Q46" s="37"/>
    </row>
    <row r="47" spans="1:17" ht="20.100000000000001" customHeight="1" x14ac:dyDescent="0.25">
      <c r="A47" s="27">
        <v>45</v>
      </c>
      <c r="B47" s="28" t="s">
        <v>146</v>
      </c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6" t="s">
        <v>176</v>
      </c>
      <c r="O47" s="37"/>
      <c r="P47" s="37"/>
      <c r="Q47" s="37"/>
    </row>
    <row r="48" spans="1:17" ht="20.100000000000001" customHeight="1" x14ac:dyDescent="0.25">
      <c r="A48" s="27">
        <v>46</v>
      </c>
      <c r="B48" s="28" t="s">
        <v>147</v>
      </c>
      <c r="C48" s="37"/>
      <c r="D48" s="37"/>
      <c r="E48" s="37"/>
      <c r="F48" s="37"/>
      <c r="G48" s="37"/>
      <c r="H48" s="36" t="s">
        <v>176</v>
      </c>
      <c r="I48" s="37"/>
      <c r="J48" s="37"/>
      <c r="K48" s="37"/>
      <c r="L48" s="37"/>
      <c r="M48" s="37"/>
      <c r="N48" s="37"/>
      <c r="O48" s="37"/>
      <c r="P48" s="37"/>
      <c r="Q48" s="37"/>
    </row>
    <row r="49" spans="1:17" ht="20.100000000000001" customHeight="1" x14ac:dyDescent="0.25">
      <c r="A49" s="27">
        <v>47</v>
      </c>
      <c r="B49" s="28" t="s">
        <v>148</v>
      </c>
      <c r="C49" s="37"/>
      <c r="D49" s="37"/>
      <c r="E49" s="37"/>
      <c r="F49" s="36" t="s">
        <v>176</v>
      </c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</row>
    <row r="50" spans="1:17" ht="20.100000000000001" customHeight="1" x14ac:dyDescent="0.25">
      <c r="A50" s="27">
        <v>48</v>
      </c>
      <c r="B50" s="28" t="s">
        <v>149</v>
      </c>
      <c r="C50" s="37"/>
      <c r="D50" s="37"/>
      <c r="E50" s="37"/>
      <c r="F50" s="37"/>
      <c r="G50" s="37"/>
      <c r="H50" s="37"/>
      <c r="I50" s="37"/>
      <c r="J50" s="36" t="s">
        <v>176</v>
      </c>
      <c r="K50" s="37"/>
      <c r="L50" s="37"/>
      <c r="M50" s="37"/>
      <c r="N50" s="37"/>
      <c r="O50" s="37"/>
      <c r="P50" s="37"/>
      <c r="Q50" s="37"/>
    </row>
    <row r="51" spans="1:17" ht="20.100000000000001" customHeight="1" x14ac:dyDescent="0.25">
      <c r="A51" s="27">
        <v>49</v>
      </c>
      <c r="B51" s="28" t="s">
        <v>150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6" t="s">
        <v>176</v>
      </c>
      <c r="N51" s="37"/>
      <c r="O51" s="37"/>
      <c r="P51" s="37"/>
      <c r="Q51" s="37"/>
    </row>
    <row r="52" spans="1:17" ht="20.100000000000001" customHeight="1" x14ac:dyDescent="0.25">
      <c r="A52" s="27">
        <v>50</v>
      </c>
      <c r="B52" s="28" t="s">
        <v>151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6" t="s">
        <v>176</v>
      </c>
      <c r="N52" s="37"/>
      <c r="O52" s="37"/>
      <c r="P52" s="37"/>
      <c r="Q52" s="37"/>
    </row>
    <row r="53" spans="1:17" ht="20.100000000000001" customHeight="1" x14ac:dyDescent="0.25">
      <c r="A53" s="27">
        <v>51</v>
      </c>
      <c r="B53" s="28" t="s">
        <v>152</v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O53" s="36" t="s">
        <v>176</v>
      </c>
      <c r="P53" s="36" t="s">
        <v>176</v>
      </c>
      <c r="Q53" s="37"/>
    </row>
    <row r="54" spans="1:17" ht="20.100000000000001" customHeight="1" x14ac:dyDescent="0.25">
      <c r="A54" s="27">
        <v>52</v>
      </c>
      <c r="B54" s="28" t="s">
        <v>177</v>
      </c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</row>
    <row r="55" spans="1:17" ht="20.100000000000001" customHeight="1" x14ac:dyDescent="0.25">
      <c r="A55" s="27">
        <v>53</v>
      </c>
      <c r="B55" s="28" t="s">
        <v>153</v>
      </c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 t="s">
        <v>179</v>
      </c>
      <c r="Q55" s="37"/>
    </row>
    <row r="56" spans="1:17" ht="20.100000000000001" customHeight="1" x14ac:dyDescent="0.25">
      <c r="A56" s="27">
        <v>54</v>
      </c>
      <c r="B56" s="28" t="s">
        <v>154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6" t="s">
        <v>176</v>
      </c>
      <c r="N56" s="37"/>
      <c r="O56" s="37"/>
      <c r="P56" s="37"/>
      <c r="Q56" s="37"/>
    </row>
    <row r="57" spans="1:17" ht="20.100000000000001" customHeight="1" x14ac:dyDescent="0.25">
      <c r="A57" s="27">
        <v>55</v>
      </c>
      <c r="B57" s="28" t="s">
        <v>155</v>
      </c>
      <c r="C57" s="37"/>
      <c r="D57" s="37"/>
      <c r="E57" s="37"/>
      <c r="F57" s="37"/>
      <c r="G57" s="37"/>
      <c r="H57" s="37"/>
      <c r="I57" s="37"/>
      <c r="J57" s="36" t="s">
        <v>176</v>
      </c>
      <c r="K57" s="37"/>
      <c r="L57" s="37"/>
      <c r="M57" s="37"/>
      <c r="N57" s="37"/>
      <c r="O57" s="37"/>
      <c r="P57" s="37"/>
      <c r="Q57" s="37"/>
    </row>
    <row r="58" spans="1:17" ht="20.100000000000001" customHeight="1" x14ac:dyDescent="0.25">
      <c r="A58" s="27">
        <v>56</v>
      </c>
      <c r="B58" s="28" t="s">
        <v>156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6" t="s">
        <v>176</v>
      </c>
      <c r="P58" s="37"/>
      <c r="Q58" s="37"/>
    </row>
    <row r="59" spans="1:17" ht="20.100000000000001" customHeight="1" x14ac:dyDescent="0.25">
      <c r="A59" s="27">
        <v>57</v>
      </c>
      <c r="B59" s="28" t="s">
        <v>157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 t="s">
        <v>178</v>
      </c>
      <c r="Q59" s="37"/>
    </row>
  </sheetData>
  <mergeCells count="3">
    <mergeCell ref="C1:Q1"/>
    <mergeCell ref="B1:B2"/>
    <mergeCell ref="A1:A2"/>
  </mergeCells>
  <pageMargins left="0.70866141732283472" right="0.70866141732283472" top="0.74803149606299213" bottom="0.74803149606299213" header="0.31496062992125984" footer="0.31496062992125984"/>
  <pageSetup paperSize="1000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Nilai 2021-2022</vt:lpstr>
      <vt:lpstr>ALUMNI 2022-2023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2023-01-10T02:16:48Z</dcterms:modified>
</cp:coreProperties>
</file>